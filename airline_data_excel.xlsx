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E305CC00-A9BF-4430-BD3E-7E5B10A8C838}" xr6:coauthVersionLast="47" xr6:coauthVersionMax="47" xr10:uidLastSave="{00000000-0000-0000-0000-000000000000}"/>
  <bookViews>
    <workbookView xWindow="-108" yWindow="-108" windowWidth="23256" windowHeight="12456" activeTab="1" xr2:uid="{47D35F83-3356-4184-BFF2-43591C9A79D1}"/>
  </bookViews>
  <sheets>
    <sheet name="Raw_data" sheetId="1" r:id="rId1"/>
    <sheet name="Cleaned_data" sheetId="2" r:id="rId2"/>
    <sheet name="Airline_revenue_pivot" sheetId="3" r:id="rId3"/>
  </sheets>
  <definedNames>
    <definedName name="ExternalData_1" localSheetId="1" hidden="1">Cleaned_data!$A$1:$K$31</definedName>
  </definedNames>
  <calcPr calcId="0"/>
  <pivotCaches>
    <pivotCache cacheId="4" r:id="rId4"/>
  </pivotCaches>
</workbook>
</file>

<file path=xl/calcChain.xml><?xml version="1.0" encoding="utf-8"?>
<calcChain xmlns="http://schemas.openxmlformats.org/spreadsheetml/2006/main">
  <c r="L2" i="2" l="1" a="1"/>
  <c r="L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/>
  <c r="L12" i="2" a="1"/>
  <c r="L12" i="2"/>
  <c r="L13" i="2" a="1"/>
  <c r="L13" i="2" s="1"/>
  <c r="L14" i="2" a="1"/>
  <c r="L14" i="2" s="1"/>
  <c r="L15" i="2" a="1"/>
  <c r="L15" i="2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/>
  <c r="L24" i="2" a="1"/>
  <c r="L24" i="2"/>
  <c r="L25" i="2" a="1"/>
  <c r="L25" i="2" s="1"/>
  <c r="L26" i="2" a="1"/>
  <c r="L26" i="2" s="1"/>
  <c r="L27" i="2" a="1"/>
  <c r="L27" i="2"/>
  <c r="L28" i="2" a="1"/>
  <c r="L28" i="2" s="1"/>
  <c r="L29" i="2" a="1"/>
  <c r="L29" i="2" s="1"/>
  <c r="L30" i="2" a="1"/>
  <c r="L30" i="2" s="1"/>
  <c r="L31" i="2" a="1"/>
  <c r="L31" i="2" s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539A9-E6E0-4FC1-9694-230CD5D5C2A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<sst xmlns="http://schemas.openxmlformats.org/spreadsheetml/2006/main" count="218" uniqueCount="40">
  <si>
    <t>flight_id</t>
  </si>
  <si>
    <t>airline_name</t>
  </si>
  <si>
    <t>source_airport</t>
  </si>
  <si>
    <t>destination_airport</t>
  </si>
  <si>
    <t>departure_time</t>
  </si>
  <si>
    <t>arrival_time</t>
  </si>
  <si>
    <t>delay_minutes</t>
  </si>
  <si>
    <t>cancelled</t>
  </si>
  <si>
    <t>passenger_count</t>
  </si>
  <si>
    <t>ticket_price</t>
  </si>
  <si>
    <t>revenue</t>
  </si>
  <si>
    <t>IndiGo</t>
  </si>
  <si>
    <t>MAA</t>
  </si>
  <si>
    <t>DEL</t>
  </si>
  <si>
    <t>Air India</t>
  </si>
  <si>
    <t>BOM</t>
  </si>
  <si>
    <t>SpiceJet</t>
  </si>
  <si>
    <t>BLR</t>
  </si>
  <si>
    <t>Vistara</t>
  </si>
  <si>
    <t>HYD</t>
  </si>
  <si>
    <t>Akasa Air</t>
  </si>
  <si>
    <t>CCU</t>
  </si>
  <si>
    <t>PNQ</t>
  </si>
  <si>
    <t>COK</t>
  </si>
  <si>
    <t>Delay_category</t>
  </si>
  <si>
    <t>Revenue</t>
  </si>
  <si>
    <t>Flight_id</t>
  </si>
  <si>
    <t>Airline_name</t>
  </si>
  <si>
    <t>Source_airport</t>
  </si>
  <si>
    <t>Destination_airport</t>
  </si>
  <si>
    <t>Departure_time</t>
  </si>
  <si>
    <t>Arrival_time</t>
  </si>
  <si>
    <t>Delay_minutes</t>
  </si>
  <si>
    <t>Cancelled</t>
  </si>
  <si>
    <t>Passenger_count</t>
  </si>
  <si>
    <t>Ticket_price</t>
  </si>
  <si>
    <t>Revenue_Category</t>
  </si>
  <si>
    <t>Airline</t>
  </si>
  <si>
    <t>Total_Revenue</t>
  </si>
  <si>
    <t>Average_Delay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</si>
</sst>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4" formatCode="&quot;₹&quot;\ #,##0"/>
    </dxf>
    <dxf>
      <numFmt numFmtId="164" formatCode="&quot;₹&quot;\ #,##0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numFmt numFmtId="164" formatCode="&quot;₹&quot;\ #,##0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h adhithya" refreshedDate="46101.492121990741" createdVersion="8" refreshedVersion="8" minRefreshableVersion="3" recordCount="30" xr:uid="{5F6BBA3B-77A3-486F-9731-072DF4B201BB}">
  <cacheSource type="worksheet">
    <worksheetSource name="Table1_1"/>
  </cacheSource>
  <cacheFields count="13">
    <cacheField name="Flight_id" numFmtId="0">
      <sharedItems containsSemiMixedTypes="0" containsString="0" containsNumber="1" containsInteger="1" minValue="1" maxValue="30"/>
    </cacheField>
    <cacheField name="Airline_name" numFmtId="0">
      <sharedItems count="5">
        <s v="IndiGo"/>
        <s v="Air India"/>
        <s v="SpiceJet"/>
        <s v="Vistara"/>
        <s v="Akasa Air"/>
      </sharedItems>
    </cacheField>
    <cacheField name="Source_airport" numFmtId="0">
      <sharedItems/>
    </cacheField>
    <cacheField name="Destination_airport" numFmtId="0">
      <sharedItems/>
    </cacheField>
    <cacheField name="Departure_time" numFmtId="22">
      <sharedItems containsSemiMixedTypes="0" containsNonDate="0" containsDate="1" containsString="0" minDate="2024-01-01T08:00:00" maxDate="2024-01-30T12:00:00"/>
    </cacheField>
    <cacheField name="Arrival_time" numFmtId="22">
      <sharedItems containsSemiMixedTypes="0" containsNonDate="0" containsDate="1" containsString="0" minDate="2024-01-01T11:00:00" maxDate="2024-01-30T13:00:00"/>
    </cacheField>
    <cacheField name="Delay_minutes" numFmtId="0">
      <sharedItems containsSemiMixedTypes="0" containsString="0" containsNumber="1" containsInteger="1" minValue="0" maxValue="60"/>
    </cacheField>
    <cacheField name="Cancelled" numFmtId="0">
      <sharedItems containsSemiMixedTypes="0" containsString="0" containsNumber="1" containsInteger="1" minValue="0" maxValue="1"/>
    </cacheField>
    <cacheField name="Passenger_count" numFmtId="0">
      <sharedItems containsSemiMixedTypes="0" containsString="0" containsNumber="1" containsInteger="1" minValue="0" maxValue="170"/>
    </cacheField>
    <cacheField name="Ticket_price" numFmtId="0">
      <sharedItems containsSemiMixedTypes="0" containsString="0" containsNumber="1" containsInteger="1" minValue="0" maxValue="6000"/>
    </cacheField>
    <cacheField name="Revenue" numFmtId="0">
      <sharedItems containsSemiMixedTypes="0" containsString="0" containsNumber="1" containsInteger="1" minValue="0" maxValue="1020000"/>
    </cacheField>
    <cacheField name="Delay_category" numFmtId="0">
      <sharedItems/>
    </cacheField>
    <cacheField name="Revenu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s v="MAA"/>
    <s v="DEL"/>
    <d v="2024-01-01T08:00:00"/>
    <d v="2024-01-01T11:00:00"/>
    <n v="10"/>
    <n v="0"/>
    <n v="120"/>
    <n v="3500"/>
    <n v="420000"/>
    <s v="Minor Delay"/>
    <s v="Low"/>
  </r>
  <r>
    <n v="2"/>
    <x v="1"/>
    <s v="DEL"/>
    <s v="BOM"/>
    <d v="2024-01-02T09:00:00"/>
    <d v="2024-01-02T11:30:00"/>
    <n v="0"/>
    <n v="0"/>
    <n v="150"/>
    <n v="5000"/>
    <n v="750000"/>
    <s v="On Time"/>
    <s v="High"/>
  </r>
  <r>
    <n v="3"/>
    <x v="2"/>
    <s v="BOM"/>
    <s v="BLR"/>
    <d v="2024-01-03T07:00:00"/>
    <d v="2024-01-03T09:00:00"/>
    <n v="25"/>
    <n v="0"/>
    <n v="100"/>
    <n v="4000"/>
    <n v="400000"/>
    <s v="Minor Delay"/>
    <s v="Low"/>
  </r>
  <r>
    <n v="4"/>
    <x v="3"/>
    <s v="BLR"/>
    <s v="HYD"/>
    <d v="2024-01-04T10:00:00"/>
    <d v="2024-01-04T11:30:00"/>
    <n v="5"/>
    <n v="0"/>
    <n v="90"/>
    <n v="3000"/>
    <n v="270000"/>
    <s v="Minor Delay"/>
    <s v="Low"/>
  </r>
  <r>
    <n v="5"/>
    <x v="4"/>
    <s v="HYD"/>
    <s v="MAA"/>
    <d v="2024-01-05T06:00:00"/>
    <d v="2024-01-05T07:30:00"/>
    <n v="0"/>
    <n v="0"/>
    <n v="110"/>
    <n v="3200"/>
    <n v="352000"/>
    <s v="On Time"/>
    <s v="Low"/>
  </r>
  <r>
    <n v="6"/>
    <x v="0"/>
    <s v="DEL"/>
    <s v="CCU"/>
    <d v="2024-01-06T12:00:00"/>
    <d v="2024-01-06T14:30:00"/>
    <n v="45"/>
    <n v="0"/>
    <n v="130"/>
    <n v="4500"/>
    <n v="585000"/>
    <s v="Major Delay"/>
    <s v="High"/>
  </r>
  <r>
    <n v="7"/>
    <x v="1"/>
    <s v="CCU"/>
    <s v="BOM"/>
    <d v="2024-01-07T15:00:00"/>
    <d v="2024-01-07T18:00:00"/>
    <n v="0"/>
    <n v="0"/>
    <n v="140"/>
    <n v="4800"/>
    <n v="672000"/>
    <s v="On Time"/>
    <s v="High"/>
  </r>
  <r>
    <n v="8"/>
    <x v="2"/>
    <s v="BOM"/>
    <s v="MAA"/>
    <d v="2024-01-08T11:00:00"/>
    <d v="2024-01-08T13:00:00"/>
    <n v="60"/>
    <n v="0"/>
    <n v="160"/>
    <n v="5200"/>
    <n v="832000"/>
    <s v="Major Delay"/>
    <s v="High"/>
  </r>
  <r>
    <n v="9"/>
    <x v="3"/>
    <s v="MAA"/>
    <s v="BLR"/>
    <d v="2024-01-09T09:00:00"/>
    <d v="2024-01-09T10:00:00"/>
    <n v="0"/>
    <n v="0"/>
    <n v="80"/>
    <n v="2500"/>
    <n v="200000"/>
    <s v="On Time"/>
    <s v="Low"/>
  </r>
  <r>
    <n v="10"/>
    <x v="4"/>
    <s v="BLR"/>
    <s v="DEL"/>
    <d v="2024-01-10T18:00:00"/>
    <d v="2024-01-10T21:00:00"/>
    <n v="15"/>
    <n v="0"/>
    <n v="170"/>
    <n v="6000"/>
    <n v="1020000"/>
    <s v="Minor Delay"/>
    <s v="High"/>
  </r>
  <r>
    <n v="11"/>
    <x v="0"/>
    <s v="MAA"/>
    <s v="HYD"/>
    <d v="2024-01-11T08:00:00"/>
    <d v="2024-01-11T09:30:00"/>
    <n v="0"/>
    <n v="0"/>
    <n v="95"/>
    <n v="3000"/>
    <n v="285000"/>
    <s v="On Time"/>
    <s v="Low"/>
  </r>
  <r>
    <n v="12"/>
    <x v="1"/>
    <s v="HYD"/>
    <s v="DEL"/>
    <d v="2024-01-12T13:00:00"/>
    <d v="2024-01-12T15:30:00"/>
    <n v="30"/>
    <n v="0"/>
    <n v="125"/>
    <n v="4200"/>
    <n v="525000"/>
    <s v="Minor Delay"/>
    <s v="High"/>
  </r>
  <r>
    <n v="13"/>
    <x v="2"/>
    <s v="DEL"/>
    <s v="PNQ"/>
    <d v="2024-01-13T10:00:00"/>
    <d v="2024-01-13T12:00:00"/>
    <n v="0"/>
    <n v="0"/>
    <n v="105"/>
    <n v="3500"/>
    <n v="367500"/>
    <s v="On Time"/>
    <s v="Low"/>
  </r>
  <r>
    <n v="14"/>
    <x v="3"/>
    <s v="PNQ"/>
    <s v="BOM"/>
    <d v="2024-01-14T14:00:00"/>
    <d v="2024-01-14T15:00:00"/>
    <n v="10"/>
    <n v="0"/>
    <n v="85"/>
    <n v="2800"/>
    <n v="238000"/>
    <s v="Minor Delay"/>
    <s v="Low"/>
  </r>
  <r>
    <n v="15"/>
    <x v="4"/>
    <s v="BOM"/>
    <s v="CCU"/>
    <d v="2024-01-15T16:00:00"/>
    <d v="2024-01-15T19:00:00"/>
    <n v="0"/>
    <n v="0"/>
    <n v="150"/>
    <n v="5500"/>
    <n v="825000"/>
    <s v="On Time"/>
    <s v="High"/>
  </r>
  <r>
    <n v="16"/>
    <x v="0"/>
    <s v="CCU"/>
    <s v="MAA"/>
    <d v="2024-01-16T07:00:00"/>
    <d v="2024-01-16T10:00:00"/>
    <n v="20"/>
    <n v="0"/>
    <n v="115"/>
    <n v="3700"/>
    <n v="425500"/>
    <s v="Minor Delay"/>
    <s v="Low"/>
  </r>
  <r>
    <n v="17"/>
    <x v="1"/>
    <s v="MAA"/>
    <s v="COK"/>
    <d v="2024-01-17T09:00:00"/>
    <d v="2024-01-17T11:00:00"/>
    <n v="0"/>
    <n v="0"/>
    <n v="90"/>
    <n v="2900"/>
    <n v="261000"/>
    <s v="On Time"/>
    <s v="Low"/>
  </r>
  <r>
    <n v="18"/>
    <x v="2"/>
    <s v="COK"/>
    <s v="BLR"/>
    <d v="2024-01-18T12:00:00"/>
    <d v="2024-01-18T13:30:00"/>
    <n v="0"/>
    <n v="1"/>
    <n v="0"/>
    <n v="0"/>
    <n v="0"/>
    <s v="On Time"/>
    <s v="Low"/>
  </r>
  <r>
    <n v="19"/>
    <x v="3"/>
    <s v="BLR"/>
    <s v="PNQ"/>
    <d v="2024-01-19T15:00:00"/>
    <d v="2024-01-19T17:00:00"/>
    <n v="50"/>
    <n v="0"/>
    <n v="140"/>
    <n v="5000"/>
    <n v="700000"/>
    <s v="Major Delay"/>
    <s v="High"/>
  </r>
  <r>
    <n v="20"/>
    <x v="4"/>
    <s v="PNQ"/>
    <s v="DEL"/>
    <d v="2024-01-20T18:00:00"/>
    <d v="2024-01-20T20:30:00"/>
    <n v="0"/>
    <n v="0"/>
    <n v="135"/>
    <n v="4800"/>
    <n v="648000"/>
    <s v="On Time"/>
    <s v="High"/>
  </r>
  <r>
    <n v="21"/>
    <x v="0"/>
    <s v="DEL"/>
    <s v="MAA"/>
    <d v="2024-01-21T06:00:00"/>
    <d v="2024-01-21T09:00:00"/>
    <n v="5"/>
    <n v="0"/>
    <n v="120"/>
    <n v="3600"/>
    <n v="432000"/>
    <s v="Minor Delay"/>
    <s v="Low"/>
  </r>
  <r>
    <n v="22"/>
    <x v="1"/>
    <s v="MAA"/>
    <s v="BOM"/>
    <d v="2024-01-22T08:00:00"/>
    <d v="2024-01-22T10:00:00"/>
    <n v="0"/>
    <n v="0"/>
    <n v="150"/>
    <n v="5200"/>
    <n v="780000"/>
    <s v="On Time"/>
    <s v="High"/>
  </r>
  <r>
    <n v="23"/>
    <x v="2"/>
    <s v="BOM"/>
    <s v="DEL"/>
    <d v="2024-01-23T11:00:00"/>
    <d v="2024-01-23T13:30:00"/>
    <n v="15"/>
    <n v="0"/>
    <n v="110"/>
    <n v="4100"/>
    <n v="451000"/>
    <s v="Minor Delay"/>
    <s v="Low"/>
  </r>
  <r>
    <n v="24"/>
    <x v="3"/>
    <s v="DEL"/>
    <s v="BLR"/>
    <d v="2024-01-24T14:00:00"/>
    <d v="2024-01-24T17:00:00"/>
    <n v="0"/>
    <n v="0"/>
    <n v="130"/>
    <n v="4500"/>
    <n v="585000"/>
    <s v="On Time"/>
    <s v="High"/>
  </r>
  <r>
    <n v="25"/>
    <x v="4"/>
    <s v="BLR"/>
    <s v="HYD"/>
    <d v="2024-01-25T18:00:00"/>
    <d v="2024-01-25T19:30:00"/>
    <n v="25"/>
    <n v="0"/>
    <n v="100"/>
    <n v="3800"/>
    <n v="380000"/>
    <s v="Minor Delay"/>
    <s v="Low"/>
  </r>
  <r>
    <n v="26"/>
    <x v="0"/>
    <s v="HYD"/>
    <s v="COK"/>
    <d v="2024-01-26T07:00:00"/>
    <d v="2024-01-26T09:00:00"/>
    <n v="0"/>
    <n v="0"/>
    <n v="95"/>
    <n v="3000"/>
    <n v="285000"/>
    <s v="On Time"/>
    <s v="Low"/>
  </r>
  <r>
    <n v="27"/>
    <x v="1"/>
    <s v="COK"/>
    <s v="DEL"/>
    <d v="2024-01-27T10:00:00"/>
    <d v="2024-01-27T13:00:00"/>
    <n v="40"/>
    <n v="0"/>
    <n v="125"/>
    <n v="4200"/>
    <n v="525000"/>
    <s v="Major Delay"/>
    <s v="High"/>
  </r>
  <r>
    <n v="28"/>
    <x v="2"/>
    <s v="DEL"/>
    <s v="MAA"/>
    <d v="2024-01-28T15:00:00"/>
    <d v="2024-01-28T18:00:00"/>
    <n v="0"/>
    <n v="0"/>
    <n v="140"/>
    <n v="4800"/>
    <n v="672000"/>
    <s v="On Time"/>
    <s v="High"/>
  </r>
  <r>
    <n v="29"/>
    <x v="3"/>
    <s v="MAA"/>
    <s v="PNQ"/>
    <d v="2024-01-29T09:00:00"/>
    <d v="2024-01-29T11:30:00"/>
    <n v="0"/>
    <n v="0"/>
    <n v="135"/>
    <n v="4700"/>
    <n v="634500"/>
    <s v="On Time"/>
    <s v="High"/>
  </r>
  <r>
    <n v="30"/>
    <x v="4"/>
    <s v="PNQ"/>
    <s v="BOM"/>
    <d v="2024-01-30T12:00:00"/>
    <d v="2024-01-30T13:00:00"/>
    <n v="0"/>
    <n v="0"/>
    <n v="150"/>
    <n v="5000"/>
    <n v="750000"/>
    <s v="On Time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1E0D4-C7B4-4319-95E3-878FC9082EF5}" name="PivotTable2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Airline">
  <location ref="A18:B23" firstHeaderRow="1" firstDataRow="1" firstDataCol="1"/>
  <pivotFields count="13">
    <pivotField showAll="0"/>
    <pivotField axis="axisRow"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3"/>
    </i>
    <i>
      <x v="2"/>
    </i>
    <i>
      <x/>
    </i>
    <i>
      <x v="4"/>
    </i>
    <i>
      <x v="1"/>
    </i>
  </rowItems>
  <colItems count="1">
    <i/>
  </colItems>
  <dataFields count="1">
    <dataField name="Average_Delay (Mins)" fld="6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51EC6-3D0C-4C0B-9AB8-6C3724865264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Airline">
  <location ref="A3:B8" firstHeaderRow="1" firstDataRow="1" firstDataCol="1"/>
  <pivotFields count="13">
    <pivotField showAll="0"/>
    <pivotField axis="axisRow" showAll="0" sortType="descending">
      <items count="6">
        <item x="1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/>
    <pivotField numFmtId="22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 v="1"/>
    </i>
    <i>
      <x/>
    </i>
    <i>
      <x v="3"/>
    </i>
    <i>
      <x v="4"/>
    </i>
    <i>
      <x v="2"/>
    </i>
  </rowItems>
  <colItems count="1">
    <i/>
  </colItems>
  <dataFields count="1">
    <dataField name="Total_Revenue" fld="10" baseField="0" baseItem="0" numFmtId="164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898F4B-3C43-45AC-9D50-BB7054586667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flight_id" tableColumnId="1"/>
      <queryTableField id="2" name="airline_name" tableColumnId="2"/>
      <queryTableField id="3" name="source_airport" tableColumnId="3"/>
      <queryTableField id="4" name="destination_airport" tableColumnId="4"/>
      <queryTableField id="5" name="departure_time" tableColumnId="5"/>
      <queryTableField id="6" name="arrival_time" tableColumnId="6"/>
      <queryTableField id="7" name="delay_minutes" tableColumnId="7"/>
      <queryTableField id="8" name="cancelled" tableColumnId="8"/>
      <queryTableField id="9" name="passenger_count" tableColumnId="9"/>
      <queryTableField id="10" name="ticket_price" tableColumnId="10"/>
      <queryTableField id="11" name="revenue" tableColumnId="11"/>
      <queryTableField id="12" dataBound="0" tableColumnId="12"/>
      <queryTableField id="13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96424-7891-436B-B262-FEEA639A53F9}" name="Table1" displayName="Table1" ref="A1:K31" totalsRowShown="0">
  <autoFilter ref="A1:K31" xr:uid="{35A96424-7891-436B-B262-FEEA639A53F9}"/>
  <tableColumns count="11">
    <tableColumn id="1" xr3:uid="{EF4DD6AF-3E99-43E9-93BD-05E5BF5ACF4C}" name="flight_id"/>
    <tableColumn id="2" xr3:uid="{7F7111BE-A807-49E6-B45E-38F2672DB041}" name="airline_name"/>
    <tableColumn id="3" xr3:uid="{A931AE1E-F0F4-4637-A681-67282A7D49D0}" name="source_airport"/>
    <tableColumn id="4" xr3:uid="{D20D3D8D-CA90-4190-8700-DE508E76814E}" name="destination_airport"/>
    <tableColumn id="5" xr3:uid="{42901BE1-FEC3-46EA-8022-5F4FD44367A4}" name="departure_time" dataDxfId="14"/>
    <tableColumn id="6" xr3:uid="{CCED7E09-2BE0-47FC-81CD-224C7A5790CB}" name="arrival_time" dataDxfId="13"/>
    <tableColumn id="7" xr3:uid="{01A311D0-B3F0-462A-9921-B05E02BD909C}" name="delay_minutes"/>
    <tableColumn id="8" xr3:uid="{EA82527F-4F8D-4001-AB78-03A0A3D1D5BF}" name="cancelled"/>
    <tableColumn id="9" xr3:uid="{C4002333-179E-4394-AE6A-32F52FFC1A5A}" name="passenger_count"/>
    <tableColumn id="10" xr3:uid="{31821657-6563-44EA-BD6D-58A495D007B9}" name="ticket_price"/>
    <tableColumn id="11" xr3:uid="{2E022C3D-5284-4D7A-B30C-CCED26D60D48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BE0D74-9EE3-4766-B167-4802A31C052E}" name="Table1_1" displayName="Table1_1" ref="A1:M31" tableType="queryTable" totalsRowShown="0">
  <autoFilter ref="A1:M31" xr:uid="{33BE0D74-9EE3-4766-B167-4802A31C052E}"/>
  <tableColumns count="13">
    <tableColumn id="1" xr3:uid="{A1854B00-8A5B-4CAB-884C-A47FAAAAE680}" uniqueName="1" name="Flight_id" queryTableFieldId="1"/>
    <tableColumn id="2" xr3:uid="{7CD5F1C9-7DCF-4684-AA37-2FA7D5AA5389}" uniqueName="2" name="Airline_name" queryTableFieldId="2" dataDxfId="6"/>
    <tableColumn id="3" xr3:uid="{6EA0136F-FC7F-413A-859F-2D9B2FC222AD}" uniqueName="3" name="Source_airport" queryTableFieldId="3" dataDxfId="5"/>
    <tableColumn id="4" xr3:uid="{3C64CC9F-FB38-4FFD-9C1F-E128A657605B}" uniqueName="4" name="Destination_airport" queryTableFieldId="4" dataDxfId="4"/>
    <tableColumn id="5" xr3:uid="{9A6B1B22-3087-4717-B09D-65FEF0E43DFC}" uniqueName="5" name="Departure_time" queryTableFieldId="5" dataDxfId="3"/>
    <tableColumn id="6" xr3:uid="{4E807D60-1CDA-4CB9-A45C-26E38CB4ED29}" uniqueName="6" name="Arrival_time" queryTableFieldId="6" dataDxfId="2"/>
    <tableColumn id="7" xr3:uid="{D8B371F9-E1D5-4CC4-96D2-59DFF9C19A85}" uniqueName="7" name="Delay_minutes" queryTableFieldId="7"/>
    <tableColumn id="8" xr3:uid="{B2F92992-60D0-4B00-B669-085A08FF7EE6}" uniqueName="8" name="Cancelled" queryTableFieldId="8"/>
    <tableColumn id="9" xr3:uid="{6078E8B1-270D-4B5C-9D9A-3E1FAB0BE2E1}" uniqueName="9" name="Passenger_count" queryTableFieldId="9"/>
    <tableColumn id="10" xr3:uid="{12B41D0E-1BF2-45DC-B58C-422509272E34}" uniqueName="10" name="Ticket_price" queryTableFieldId="10" dataDxfId="1"/>
    <tableColumn id="11" xr3:uid="{66321226-EE8C-4590-838F-6668D860325D}" uniqueName="11" name="Revenue" queryTableFieldId="11" dataDxfId="0"/>
    <tableColumn id="12" xr3:uid="{71DD5976-8448-4B2C-AA5B-F4E22A13F186}" uniqueName="12" name="Delay_category" queryTableFieldId="12" dataDxfId="12">
      <calculatedColumnFormula array="1">_xlfn.IFS(Table1_1[[#This Row],[Delay_minutes]]=0,"On Time",Table1_1[[#This Row],[Delay_minutes]]&lt;=30,"Minor Delay",TRUE,"Major Delay")</calculatedColumnFormula>
    </tableColumn>
    <tableColumn id="13" xr3:uid="{2127701C-E29B-4DE2-867A-C572FF3DE960}" uniqueName="13" name="Revenue_Category" queryTableFieldId="13" dataDxfId="11">
      <calculatedColumnFormula>IF(Table1_1[[#This Row],[Revenue]]&gt;500000,"High", "Low")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90C5-9B99-40E0-BCFB-3AE0060BB0DA}">
  <dimension ref="A1:K31"/>
  <sheetViews>
    <sheetView workbookViewId="0">
      <selection activeCell="N19" sqref="N19"/>
    </sheetView>
  </sheetViews>
  <sheetFormatPr defaultRowHeight="14.4" x14ac:dyDescent="0.3"/>
  <cols>
    <col min="1" max="1" width="9.77734375" customWidth="1"/>
    <col min="2" max="2" width="13.77734375" customWidth="1"/>
    <col min="3" max="3" width="15.109375" customWidth="1"/>
    <col min="4" max="4" width="19" customWidth="1"/>
    <col min="5" max="5" width="16" customWidth="1"/>
    <col min="6" max="6" width="15.44140625" bestFit="1" customWidth="1"/>
    <col min="7" max="7" width="15.21875" customWidth="1"/>
    <col min="8" max="8" width="10.77734375" customWidth="1"/>
    <col min="9" max="9" width="17.21875" customWidth="1"/>
    <col min="10" max="10" width="12.6640625" customWidth="1"/>
    <col min="11" max="11" width="9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s="1">
        <v>45292.333333333336</v>
      </c>
      <c r="F2" s="1">
        <v>45292.458333333336</v>
      </c>
      <c r="G2">
        <v>10</v>
      </c>
      <c r="H2">
        <v>0</v>
      </c>
      <c r="I2">
        <v>120</v>
      </c>
      <c r="J2">
        <v>3500</v>
      </c>
      <c r="K2">
        <v>420000</v>
      </c>
    </row>
    <row r="3" spans="1:11" x14ac:dyDescent="0.3">
      <c r="A3">
        <v>2</v>
      </c>
      <c r="B3" t="s">
        <v>14</v>
      </c>
      <c r="C3" t="s">
        <v>13</v>
      </c>
      <c r="D3" t="s">
        <v>15</v>
      </c>
      <c r="E3" s="1">
        <v>45293.375</v>
      </c>
      <c r="F3" s="1">
        <v>45293.479166666664</v>
      </c>
      <c r="G3">
        <v>0</v>
      </c>
      <c r="H3">
        <v>0</v>
      </c>
      <c r="I3">
        <v>150</v>
      </c>
      <c r="J3">
        <v>5000</v>
      </c>
      <c r="K3">
        <v>750000</v>
      </c>
    </row>
    <row r="4" spans="1:11" x14ac:dyDescent="0.3">
      <c r="A4">
        <v>3</v>
      </c>
      <c r="B4" t="s">
        <v>16</v>
      </c>
      <c r="C4" t="s">
        <v>15</v>
      </c>
      <c r="D4" t="s">
        <v>17</v>
      </c>
      <c r="E4" s="1">
        <v>45294.291666666664</v>
      </c>
      <c r="F4" s="1">
        <v>45294.375</v>
      </c>
      <c r="G4">
        <v>25</v>
      </c>
      <c r="H4">
        <v>0</v>
      </c>
      <c r="I4">
        <v>100</v>
      </c>
      <c r="J4">
        <v>4000</v>
      </c>
      <c r="K4">
        <v>400000</v>
      </c>
    </row>
    <row r="5" spans="1:11" x14ac:dyDescent="0.3">
      <c r="A5">
        <v>4</v>
      </c>
      <c r="B5" t="s">
        <v>18</v>
      </c>
      <c r="C5" t="s">
        <v>17</v>
      </c>
      <c r="D5" t="s">
        <v>19</v>
      </c>
      <c r="E5" s="1">
        <v>45295.416666666664</v>
      </c>
      <c r="F5" s="1">
        <v>45295.479166666664</v>
      </c>
      <c r="G5">
        <v>5</v>
      </c>
      <c r="H5">
        <v>0</v>
      </c>
      <c r="I5">
        <v>90</v>
      </c>
      <c r="J5">
        <v>3000</v>
      </c>
      <c r="K5">
        <v>270000</v>
      </c>
    </row>
    <row r="6" spans="1:11" x14ac:dyDescent="0.3">
      <c r="A6">
        <v>5</v>
      </c>
      <c r="B6" t="s">
        <v>20</v>
      </c>
      <c r="C6" t="s">
        <v>19</v>
      </c>
      <c r="D6" t="s">
        <v>12</v>
      </c>
      <c r="E6" s="1">
        <v>45296.25</v>
      </c>
      <c r="F6" s="1">
        <v>45296.3125</v>
      </c>
      <c r="G6">
        <v>0</v>
      </c>
      <c r="H6">
        <v>0</v>
      </c>
      <c r="I6">
        <v>110</v>
      </c>
      <c r="J6">
        <v>3200</v>
      </c>
      <c r="K6">
        <v>352000</v>
      </c>
    </row>
    <row r="7" spans="1:11" x14ac:dyDescent="0.3">
      <c r="A7">
        <v>6</v>
      </c>
      <c r="B7" t="s">
        <v>11</v>
      </c>
      <c r="C7" t="s">
        <v>13</v>
      </c>
      <c r="D7" t="s">
        <v>21</v>
      </c>
      <c r="E7" s="1">
        <v>45297.5</v>
      </c>
      <c r="F7" s="1">
        <v>45297.604166666664</v>
      </c>
      <c r="G7">
        <v>45</v>
      </c>
      <c r="H7">
        <v>0</v>
      </c>
      <c r="I7">
        <v>130</v>
      </c>
      <c r="J7">
        <v>4500</v>
      </c>
      <c r="K7">
        <v>585000</v>
      </c>
    </row>
    <row r="8" spans="1:11" x14ac:dyDescent="0.3">
      <c r="A8">
        <v>7</v>
      </c>
      <c r="B8" t="s">
        <v>14</v>
      </c>
      <c r="C8" t="s">
        <v>21</v>
      </c>
      <c r="D8" t="s">
        <v>15</v>
      </c>
      <c r="E8" s="1">
        <v>45298.625</v>
      </c>
      <c r="F8" s="1">
        <v>45298.75</v>
      </c>
      <c r="G8">
        <v>0</v>
      </c>
      <c r="H8">
        <v>0</v>
      </c>
      <c r="I8">
        <v>140</v>
      </c>
      <c r="J8">
        <v>4800</v>
      </c>
      <c r="K8">
        <v>672000</v>
      </c>
    </row>
    <row r="9" spans="1:11" x14ac:dyDescent="0.3">
      <c r="A9">
        <v>8</v>
      </c>
      <c r="B9" t="s">
        <v>16</v>
      </c>
      <c r="C9" t="s">
        <v>15</v>
      </c>
      <c r="D9" t="s">
        <v>12</v>
      </c>
      <c r="E9" s="1">
        <v>45299.458333333336</v>
      </c>
      <c r="F9" s="1">
        <v>45299.541666666664</v>
      </c>
      <c r="G9">
        <v>60</v>
      </c>
      <c r="H9">
        <v>0</v>
      </c>
      <c r="I9">
        <v>160</v>
      </c>
      <c r="J9">
        <v>5200</v>
      </c>
      <c r="K9">
        <v>832000</v>
      </c>
    </row>
    <row r="10" spans="1:11" x14ac:dyDescent="0.3">
      <c r="A10">
        <v>9</v>
      </c>
      <c r="B10" t="s">
        <v>18</v>
      </c>
      <c r="C10" t="s">
        <v>12</v>
      </c>
      <c r="D10" t="s">
        <v>17</v>
      </c>
      <c r="E10" s="1">
        <v>45300.375</v>
      </c>
      <c r="F10" s="1">
        <v>45300.416666666664</v>
      </c>
      <c r="G10">
        <v>0</v>
      </c>
      <c r="H10">
        <v>0</v>
      </c>
      <c r="I10">
        <v>80</v>
      </c>
      <c r="J10">
        <v>2500</v>
      </c>
      <c r="K10">
        <v>200000</v>
      </c>
    </row>
    <row r="11" spans="1:11" x14ac:dyDescent="0.3">
      <c r="A11">
        <v>10</v>
      </c>
      <c r="B11" t="s">
        <v>20</v>
      </c>
      <c r="C11" t="s">
        <v>17</v>
      </c>
      <c r="D11" t="s">
        <v>13</v>
      </c>
      <c r="E11" s="1">
        <v>45301.75</v>
      </c>
      <c r="F11" s="1">
        <v>45301.875</v>
      </c>
      <c r="G11">
        <v>15</v>
      </c>
      <c r="H11">
        <v>0</v>
      </c>
      <c r="I11">
        <v>170</v>
      </c>
      <c r="J11">
        <v>6000</v>
      </c>
      <c r="K11">
        <v>1020000</v>
      </c>
    </row>
    <row r="12" spans="1:11" x14ac:dyDescent="0.3">
      <c r="A12">
        <v>11</v>
      </c>
      <c r="B12" t="s">
        <v>11</v>
      </c>
      <c r="C12" t="s">
        <v>12</v>
      </c>
      <c r="D12" t="s">
        <v>19</v>
      </c>
      <c r="E12" s="1">
        <v>45302.333333333336</v>
      </c>
      <c r="F12" s="1">
        <v>45302.395833333336</v>
      </c>
      <c r="G12">
        <v>0</v>
      </c>
      <c r="H12">
        <v>0</v>
      </c>
      <c r="I12">
        <v>95</v>
      </c>
      <c r="J12">
        <v>3000</v>
      </c>
      <c r="K12">
        <v>285000</v>
      </c>
    </row>
    <row r="13" spans="1:11" x14ac:dyDescent="0.3">
      <c r="A13">
        <v>12</v>
      </c>
      <c r="B13" t="s">
        <v>14</v>
      </c>
      <c r="C13" t="s">
        <v>19</v>
      </c>
      <c r="D13" t="s">
        <v>13</v>
      </c>
      <c r="E13" s="1">
        <v>45303.541666666664</v>
      </c>
      <c r="F13" s="1">
        <v>45303.645833333336</v>
      </c>
      <c r="G13">
        <v>30</v>
      </c>
      <c r="H13">
        <v>0</v>
      </c>
      <c r="I13">
        <v>125</v>
      </c>
      <c r="J13">
        <v>4200</v>
      </c>
      <c r="K13">
        <v>525000</v>
      </c>
    </row>
    <row r="14" spans="1:11" x14ac:dyDescent="0.3">
      <c r="A14">
        <v>13</v>
      </c>
      <c r="B14" t="s">
        <v>16</v>
      </c>
      <c r="C14" t="s">
        <v>13</v>
      </c>
      <c r="D14" t="s">
        <v>22</v>
      </c>
      <c r="E14" s="1">
        <v>45304.416666666664</v>
      </c>
      <c r="F14" s="1">
        <v>45304.5</v>
      </c>
      <c r="G14">
        <v>0</v>
      </c>
      <c r="H14">
        <v>0</v>
      </c>
      <c r="I14">
        <v>105</v>
      </c>
      <c r="J14">
        <v>3500</v>
      </c>
      <c r="K14">
        <v>367500</v>
      </c>
    </row>
    <row r="15" spans="1:11" x14ac:dyDescent="0.3">
      <c r="A15">
        <v>14</v>
      </c>
      <c r="B15" t="s">
        <v>18</v>
      </c>
      <c r="C15" t="s">
        <v>22</v>
      </c>
      <c r="D15" t="s">
        <v>15</v>
      </c>
      <c r="E15" s="1">
        <v>45305.583333333336</v>
      </c>
      <c r="F15" s="1">
        <v>45305.625</v>
      </c>
      <c r="G15">
        <v>10</v>
      </c>
      <c r="H15">
        <v>0</v>
      </c>
      <c r="I15">
        <v>85</v>
      </c>
      <c r="J15">
        <v>2800</v>
      </c>
      <c r="K15">
        <v>238000</v>
      </c>
    </row>
    <row r="16" spans="1:11" x14ac:dyDescent="0.3">
      <c r="A16">
        <v>15</v>
      </c>
      <c r="B16" t="s">
        <v>20</v>
      </c>
      <c r="C16" t="s">
        <v>15</v>
      </c>
      <c r="D16" t="s">
        <v>21</v>
      </c>
      <c r="E16" s="1">
        <v>45306.666666666664</v>
      </c>
      <c r="F16" s="1">
        <v>45306.791666666664</v>
      </c>
      <c r="G16">
        <v>0</v>
      </c>
      <c r="H16">
        <v>0</v>
      </c>
      <c r="I16">
        <v>150</v>
      </c>
      <c r="J16">
        <v>5500</v>
      </c>
      <c r="K16">
        <v>825000</v>
      </c>
    </row>
    <row r="17" spans="1:11" x14ac:dyDescent="0.3">
      <c r="A17">
        <v>16</v>
      </c>
      <c r="B17" t="s">
        <v>11</v>
      </c>
      <c r="C17" t="s">
        <v>21</v>
      </c>
      <c r="D17" t="s">
        <v>12</v>
      </c>
      <c r="E17" s="1">
        <v>45307.291666666664</v>
      </c>
      <c r="F17" s="1">
        <v>45307.416666666664</v>
      </c>
      <c r="G17">
        <v>20</v>
      </c>
      <c r="H17">
        <v>0</v>
      </c>
      <c r="I17">
        <v>115</v>
      </c>
      <c r="J17">
        <v>3700</v>
      </c>
      <c r="K17">
        <v>425500</v>
      </c>
    </row>
    <row r="18" spans="1:11" x14ac:dyDescent="0.3">
      <c r="A18">
        <v>17</v>
      </c>
      <c r="B18" t="s">
        <v>14</v>
      </c>
      <c r="C18" t="s">
        <v>12</v>
      </c>
      <c r="D18" t="s">
        <v>23</v>
      </c>
      <c r="E18" s="1">
        <v>45308.375</v>
      </c>
      <c r="F18" s="1">
        <v>45308.458333333336</v>
      </c>
      <c r="G18">
        <v>0</v>
      </c>
      <c r="H18">
        <v>0</v>
      </c>
      <c r="I18">
        <v>90</v>
      </c>
      <c r="J18">
        <v>2900</v>
      </c>
      <c r="K18">
        <v>261000</v>
      </c>
    </row>
    <row r="19" spans="1:11" x14ac:dyDescent="0.3">
      <c r="A19">
        <v>18</v>
      </c>
      <c r="B19" t="s">
        <v>16</v>
      </c>
      <c r="C19" t="s">
        <v>23</v>
      </c>
      <c r="D19" t="s">
        <v>17</v>
      </c>
      <c r="E19" s="1">
        <v>45309.5</v>
      </c>
      <c r="F19" s="1">
        <v>45309.5625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 x14ac:dyDescent="0.3">
      <c r="A20">
        <v>19</v>
      </c>
      <c r="B20" t="s">
        <v>18</v>
      </c>
      <c r="C20" t="s">
        <v>17</v>
      </c>
      <c r="D20" t="s">
        <v>22</v>
      </c>
      <c r="E20" s="1">
        <v>45310.625</v>
      </c>
      <c r="F20" s="1">
        <v>45310.708333333336</v>
      </c>
      <c r="G20">
        <v>50</v>
      </c>
      <c r="H20">
        <v>0</v>
      </c>
      <c r="I20">
        <v>140</v>
      </c>
      <c r="J20">
        <v>5000</v>
      </c>
      <c r="K20">
        <v>700000</v>
      </c>
    </row>
    <row r="21" spans="1:11" x14ac:dyDescent="0.3">
      <c r="A21">
        <v>20</v>
      </c>
      <c r="B21" t="s">
        <v>20</v>
      </c>
      <c r="C21" t="s">
        <v>22</v>
      </c>
      <c r="D21" t="s">
        <v>13</v>
      </c>
      <c r="E21" s="1">
        <v>45311.75</v>
      </c>
      <c r="F21" s="1">
        <v>45311.854166666664</v>
      </c>
      <c r="G21">
        <v>0</v>
      </c>
      <c r="H21">
        <v>0</v>
      </c>
      <c r="I21">
        <v>135</v>
      </c>
      <c r="J21">
        <v>4800</v>
      </c>
      <c r="K21">
        <v>648000</v>
      </c>
    </row>
    <row r="22" spans="1:11" x14ac:dyDescent="0.3">
      <c r="A22">
        <v>21</v>
      </c>
      <c r="B22" t="s">
        <v>11</v>
      </c>
      <c r="C22" t="s">
        <v>13</v>
      </c>
      <c r="D22" t="s">
        <v>12</v>
      </c>
      <c r="E22" s="1">
        <v>45312.25</v>
      </c>
      <c r="F22" s="1">
        <v>45312.375</v>
      </c>
      <c r="G22">
        <v>5</v>
      </c>
      <c r="H22">
        <v>0</v>
      </c>
      <c r="I22">
        <v>120</v>
      </c>
      <c r="J22">
        <v>3600</v>
      </c>
      <c r="K22">
        <v>432000</v>
      </c>
    </row>
    <row r="23" spans="1:11" x14ac:dyDescent="0.3">
      <c r="A23">
        <v>22</v>
      </c>
      <c r="B23" t="s">
        <v>14</v>
      </c>
      <c r="C23" t="s">
        <v>12</v>
      </c>
      <c r="D23" t="s">
        <v>15</v>
      </c>
      <c r="E23" s="1">
        <v>45313.333333333336</v>
      </c>
      <c r="F23" s="1">
        <v>45313.416666666664</v>
      </c>
      <c r="G23">
        <v>0</v>
      </c>
      <c r="H23">
        <v>0</v>
      </c>
      <c r="I23">
        <v>150</v>
      </c>
      <c r="J23">
        <v>5200</v>
      </c>
      <c r="K23">
        <v>780000</v>
      </c>
    </row>
    <row r="24" spans="1:11" x14ac:dyDescent="0.3">
      <c r="A24">
        <v>23</v>
      </c>
      <c r="B24" t="s">
        <v>16</v>
      </c>
      <c r="C24" t="s">
        <v>15</v>
      </c>
      <c r="D24" t="s">
        <v>13</v>
      </c>
      <c r="E24" s="1">
        <v>45314.458333333336</v>
      </c>
      <c r="F24" s="1">
        <v>45314.5625</v>
      </c>
      <c r="G24">
        <v>15</v>
      </c>
      <c r="H24">
        <v>0</v>
      </c>
      <c r="I24">
        <v>110</v>
      </c>
      <c r="J24">
        <v>4100</v>
      </c>
      <c r="K24">
        <v>451000</v>
      </c>
    </row>
    <row r="25" spans="1:11" x14ac:dyDescent="0.3">
      <c r="A25">
        <v>24</v>
      </c>
      <c r="B25" t="s">
        <v>18</v>
      </c>
      <c r="C25" t="s">
        <v>13</v>
      </c>
      <c r="D25" t="s">
        <v>17</v>
      </c>
      <c r="E25" s="1">
        <v>45315.583333333336</v>
      </c>
      <c r="F25" s="1">
        <v>45315.708333333336</v>
      </c>
      <c r="G25">
        <v>0</v>
      </c>
      <c r="H25">
        <v>0</v>
      </c>
      <c r="I25">
        <v>130</v>
      </c>
      <c r="J25">
        <v>4500</v>
      </c>
      <c r="K25">
        <v>585000</v>
      </c>
    </row>
    <row r="26" spans="1:11" x14ac:dyDescent="0.3">
      <c r="A26">
        <v>25</v>
      </c>
      <c r="B26" t="s">
        <v>20</v>
      </c>
      <c r="C26" t="s">
        <v>17</v>
      </c>
      <c r="D26" t="s">
        <v>19</v>
      </c>
      <c r="E26" s="1">
        <v>45316.75</v>
      </c>
      <c r="F26" s="1">
        <v>45316.8125</v>
      </c>
      <c r="G26">
        <v>25</v>
      </c>
      <c r="H26">
        <v>0</v>
      </c>
      <c r="I26">
        <v>100</v>
      </c>
      <c r="J26">
        <v>3800</v>
      </c>
      <c r="K26">
        <v>380000</v>
      </c>
    </row>
    <row r="27" spans="1:11" x14ac:dyDescent="0.3">
      <c r="A27">
        <v>26</v>
      </c>
      <c r="B27" t="s">
        <v>11</v>
      </c>
      <c r="C27" t="s">
        <v>19</v>
      </c>
      <c r="D27" t="s">
        <v>23</v>
      </c>
      <c r="E27" s="1">
        <v>45317.291666666664</v>
      </c>
      <c r="F27" s="1">
        <v>45317.375</v>
      </c>
      <c r="G27">
        <v>0</v>
      </c>
      <c r="H27">
        <v>0</v>
      </c>
      <c r="I27">
        <v>95</v>
      </c>
      <c r="J27">
        <v>3000</v>
      </c>
      <c r="K27">
        <v>285000</v>
      </c>
    </row>
    <row r="28" spans="1:11" x14ac:dyDescent="0.3">
      <c r="A28">
        <v>27</v>
      </c>
      <c r="B28" t="s">
        <v>14</v>
      </c>
      <c r="C28" t="s">
        <v>23</v>
      </c>
      <c r="D28" t="s">
        <v>13</v>
      </c>
      <c r="E28" s="1">
        <v>45318.416666666664</v>
      </c>
      <c r="F28" s="1">
        <v>45318.541666666664</v>
      </c>
      <c r="G28">
        <v>40</v>
      </c>
      <c r="H28">
        <v>0</v>
      </c>
      <c r="I28">
        <v>125</v>
      </c>
      <c r="J28">
        <v>4200</v>
      </c>
      <c r="K28">
        <v>525000</v>
      </c>
    </row>
    <row r="29" spans="1:11" x14ac:dyDescent="0.3">
      <c r="A29">
        <v>28</v>
      </c>
      <c r="B29" t="s">
        <v>16</v>
      </c>
      <c r="C29" t="s">
        <v>13</v>
      </c>
      <c r="D29" t="s">
        <v>12</v>
      </c>
      <c r="E29" s="1">
        <v>45319.625</v>
      </c>
      <c r="F29" s="1">
        <v>45319.75</v>
      </c>
      <c r="G29">
        <v>0</v>
      </c>
      <c r="H29">
        <v>0</v>
      </c>
      <c r="I29">
        <v>140</v>
      </c>
      <c r="J29">
        <v>4800</v>
      </c>
      <c r="K29">
        <v>672000</v>
      </c>
    </row>
    <row r="30" spans="1:11" x14ac:dyDescent="0.3">
      <c r="A30">
        <v>29</v>
      </c>
      <c r="B30" t="s">
        <v>18</v>
      </c>
      <c r="C30" t="s">
        <v>12</v>
      </c>
      <c r="D30" t="s">
        <v>22</v>
      </c>
      <c r="E30" s="1">
        <v>45320.375</v>
      </c>
      <c r="F30" s="1">
        <v>45320.479166666664</v>
      </c>
      <c r="G30">
        <v>0</v>
      </c>
      <c r="H30">
        <v>0</v>
      </c>
      <c r="I30">
        <v>135</v>
      </c>
      <c r="J30">
        <v>4700</v>
      </c>
      <c r="K30">
        <v>634500</v>
      </c>
    </row>
    <row r="31" spans="1:11" x14ac:dyDescent="0.3">
      <c r="A31">
        <v>30</v>
      </c>
      <c r="B31" t="s">
        <v>20</v>
      </c>
      <c r="C31" t="s">
        <v>22</v>
      </c>
      <c r="D31" t="s">
        <v>15</v>
      </c>
      <c r="E31" s="1">
        <v>45321.5</v>
      </c>
      <c r="F31" s="1">
        <v>45321.541666666664</v>
      </c>
      <c r="G31">
        <v>0</v>
      </c>
      <c r="H31">
        <v>0</v>
      </c>
      <c r="I31">
        <v>150</v>
      </c>
      <c r="J31">
        <v>5000</v>
      </c>
      <c r="K31">
        <v>750000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615E-056B-4BA0-B834-441F426DF8DE}">
  <dimension ref="A1:M31"/>
  <sheetViews>
    <sheetView tabSelected="1" workbookViewId="0">
      <selection activeCell="N20" sqref="N20"/>
    </sheetView>
  </sheetViews>
  <sheetFormatPr defaultRowHeight="14.4" x14ac:dyDescent="0.3"/>
  <cols>
    <col min="1" max="1" width="10.33203125" bestFit="1" customWidth="1"/>
    <col min="2" max="2" width="14.33203125" bestFit="1" customWidth="1"/>
    <col min="3" max="3" width="15.77734375" bestFit="1" customWidth="1"/>
    <col min="4" max="4" width="19.6640625" bestFit="1" customWidth="1"/>
    <col min="5" max="5" width="16.5546875" bestFit="1" customWidth="1"/>
    <col min="6" max="6" width="15.44140625" bestFit="1" customWidth="1"/>
    <col min="7" max="7" width="15.77734375" bestFit="1" customWidth="1"/>
    <col min="8" max="8" width="11.33203125" bestFit="1" customWidth="1"/>
    <col min="9" max="9" width="17.6640625" bestFit="1" customWidth="1"/>
    <col min="10" max="10" width="13.33203125" bestFit="1" customWidth="1"/>
    <col min="11" max="11" width="10.5546875" bestFit="1" customWidth="1"/>
    <col min="12" max="12" width="16.33203125" bestFit="1" customWidth="1"/>
    <col min="13" max="13" width="19.21875" bestFit="1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25</v>
      </c>
      <c r="L1" t="s">
        <v>24</v>
      </c>
      <c r="M1" t="s">
        <v>36</v>
      </c>
    </row>
    <row r="2" spans="1:13" x14ac:dyDescent="0.3">
      <c r="A2">
        <v>1</v>
      </c>
      <c r="B2" s="2" t="s">
        <v>11</v>
      </c>
      <c r="C2" s="2" t="s">
        <v>12</v>
      </c>
      <c r="D2" s="2" t="s">
        <v>13</v>
      </c>
      <c r="E2" s="1">
        <v>45292.333333333336</v>
      </c>
      <c r="F2" s="1">
        <v>45292.458333333336</v>
      </c>
      <c r="G2">
        <v>10</v>
      </c>
      <c r="H2">
        <v>0</v>
      </c>
      <c r="I2">
        <v>120</v>
      </c>
      <c r="J2" s="6">
        <v>3500</v>
      </c>
      <c r="K2" s="6">
        <v>420000</v>
      </c>
      <c r="L2" t="str" cm="1">
        <f t="array" ref="L2">_xlfn.IFS(Table1_1[[#This Row],[Delay_minutes]]=0,"On Time",Table1_1[[#This Row],[Delay_minutes]]&lt;=30,"Minor Delay",TRUE,"Major Delay")</f>
        <v>Minor Delay</v>
      </c>
      <c r="M2" t="str">
        <f>IF(Table1_1[[#This Row],[Revenue]]&gt;500000,"High", "Low")</f>
        <v>Low</v>
      </c>
    </row>
    <row r="3" spans="1:13" x14ac:dyDescent="0.3">
      <c r="A3">
        <v>2</v>
      </c>
      <c r="B3" s="2" t="s">
        <v>14</v>
      </c>
      <c r="C3" s="2" t="s">
        <v>13</v>
      </c>
      <c r="D3" s="2" t="s">
        <v>15</v>
      </c>
      <c r="E3" s="1">
        <v>45293.375</v>
      </c>
      <c r="F3" s="1">
        <v>45293.479166666664</v>
      </c>
      <c r="G3">
        <v>0</v>
      </c>
      <c r="H3">
        <v>0</v>
      </c>
      <c r="I3">
        <v>150</v>
      </c>
      <c r="J3" s="6">
        <v>5000</v>
      </c>
      <c r="K3" s="6">
        <v>750000</v>
      </c>
      <c r="L3" t="str" cm="1">
        <f t="array" ref="L3">_xlfn.IFS(Table1_1[[#This Row],[Delay_minutes]]=0,"On Time",Table1_1[[#This Row],[Delay_minutes]]&lt;=30,"Minor Delay",TRUE,"Major Delay")</f>
        <v>On Time</v>
      </c>
      <c r="M3" t="str">
        <f>IF(Table1_1[[#This Row],[Revenue]]&gt;500000,"High", "Low")</f>
        <v>High</v>
      </c>
    </row>
    <row r="4" spans="1:13" x14ac:dyDescent="0.3">
      <c r="A4">
        <v>3</v>
      </c>
      <c r="B4" s="2" t="s">
        <v>16</v>
      </c>
      <c r="C4" s="2" t="s">
        <v>15</v>
      </c>
      <c r="D4" s="2" t="s">
        <v>17</v>
      </c>
      <c r="E4" s="1">
        <v>45294.291666666664</v>
      </c>
      <c r="F4" s="1">
        <v>45294.375</v>
      </c>
      <c r="G4">
        <v>25</v>
      </c>
      <c r="H4">
        <v>0</v>
      </c>
      <c r="I4">
        <v>100</v>
      </c>
      <c r="J4" s="6">
        <v>4000</v>
      </c>
      <c r="K4" s="6">
        <v>400000</v>
      </c>
      <c r="L4" t="str" cm="1">
        <f t="array" ref="L4">_xlfn.IFS(Table1_1[[#This Row],[Delay_minutes]]=0,"On Time",Table1_1[[#This Row],[Delay_minutes]]&lt;=30,"Minor Delay",TRUE,"Major Delay")</f>
        <v>Minor Delay</v>
      </c>
      <c r="M4" t="str">
        <f>IF(Table1_1[[#This Row],[Revenue]]&gt;500000,"High", "Low")</f>
        <v>Low</v>
      </c>
    </row>
    <row r="5" spans="1:13" x14ac:dyDescent="0.3">
      <c r="A5">
        <v>4</v>
      </c>
      <c r="B5" s="2" t="s">
        <v>18</v>
      </c>
      <c r="C5" s="2" t="s">
        <v>17</v>
      </c>
      <c r="D5" s="2" t="s">
        <v>19</v>
      </c>
      <c r="E5" s="1">
        <v>45295.416666666664</v>
      </c>
      <c r="F5" s="1">
        <v>45295.479166666664</v>
      </c>
      <c r="G5">
        <v>5</v>
      </c>
      <c r="H5">
        <v>0</v>
      </c>
      <c r="I5">
        <v>90</v>
      </c>
      <c r="J5" s="6">
        <v>3000</v>
      </c>
      <c r="K5" s="6">
        <v>270000</v>
      </c>
      <c r="L5" t="str" cm="1">
        <f t="array" ref="L5">_xlfn.IFS(Table1_1[[#This Row],[Delay_minutes]]=0,"On Time",Table1_1[[#This Row],[Delay_minutes]]&lt;=30,"Minor Delay",TRUE,"Major Delay")</f>
        <v>Minor Delay</v>
      </c>
      <c r="M5" t="str">
        <f>IF(Table1_1[[#This Row],[Revenue]]&gt;500000,"High", "Low")</f>
        <v>Low</v>
      </c>
    </row>
    <row r="6" spans="1:13" x14ac:dyDescent="0.3">
      <c r="A6">
        <v>5</v>
      </c>
      <c r="B6" s="2" t="s">
        <v>20</v>
      </c>
      <c r="C6" s="2" t="s">
        <v>19</v>
      </c>
      <c r="D6" s="2" t="s">
        <v>12</v>
      </c>
      <c r="E6" s="1">
        <v>45296.25</v>
      </c>
      <c r="F6" s="1">
        <v>45296.3125</v>
      </c>
      <c r="G6">
        <v>0</v>
      </c>
      <c r="H6">
        <v>0</v>
      </c>
      <c r="I6">
        <v>110</v>
      </c>
      <c r="J6" s="6">
        <v>3200</v>
      </c>
      <c r="K6" s="6">
        <v>352000</v>
      </c>
      <c r="L6" t="str" cm="1">
        <f t="array" ref="L6">_xlfn.IFS(Table1_1[[#This Row],[Delay_minutes]]=0,"On Time",Table1_1[[#This Row],[Delay_minutes]]&lt;=30,"Minor Delay",TRUE,"Major Delay")</f>
        <v>On Time</v>
      </c>
      <c r="M6" t="str">
        <f>IF(Table1_1[[#This Row],[Revenue]]&gt;500000,"High", "Low")</f>
        <v>Low</v>
      </c>
    </row>
    <row r="7" spans="1:13" x14ac:dyDescent="0.3">
      <c r="A7">
        <v>6</v>
      </c>
      <c r="B7" s="2" t="s">
        <v>11</v>
      </c>
      <c r="C7" s="2" t="s">
        <v>13</v>
      </c>
      <c r="D7" s="2" t="s">
        <v>21</v>
      </c>
      <c r="E7" s="1">
        <v>45297.5</v>
      </c>
      <c r="F7" s="1">
        <v>45297.604166666664</v>
      </c>
      <c r="G7">
        <v>45</v>
      </c>
      <c r="H7">
        <v>0</v>
      </c>
      <c r="I7">
        <v>130</v>
      </c>
      <c r="J7" s="6">
        <v>4500</v>
      </c>
      <c r="K7" s="6">
        <v>585000</v>
      </c>
      <c r="L7" t="str" cm="1">
        <f t="array" ref="L7">_xlfn.IFS(Table1_1[[#This Row],[Delay_minutes]]=0,"On Time",Table1_1[[#This Row],[Delay_minutes]]&lt;=30,"Minor Delay",TRUE,"Major Delay")</f>
        <v>Major Delay</v>
      </c>
      <c r="M7" t="str">
        <f>IF(Table1_1[[#This Row],[Revenue]]&gt;500000,"High", "Low")</f>
        <v>High</v>
      </c>
    </row>
    <row r="8" spans="1:13" x14ac:dyDescent="0.3">
      <c r="A8">
        <v>7</v>
      </c>
      <c r="B8" s="2" t="s">
        <v>14</v>
      </c>
      <c r="C8" s="2" t="s">
        <v>21</v>
      </c>
      <c r="D8" s="2" t="s">
        <v>15</v>
      </c>
      <c r="E8" s="1">
        <v>45298.625</v>
      </c>
      <c r="F8" s="1">
        <v>45298.75</v>
      </c>
      <c r="G8">
        <v>0</v>
      </c>
      <c r="H8">
        <v>0</v>
      </c>
      <c r="I8">
        <v>140</v>
      </c>
      <c r="J8" s="6">
        <v>4800</v>
      </c>
      <c r="K8" s="6">
        <v>672000</v>
      </c>
      <c r="L8" t="str" cm="1">
        <f t="array" ref="L8">_xlfn.IFS(Table1_1[[#This Row],[Delay_minutes]]=0,"On Time",Table1_1[[#This Row],[Delay_minutes]]&lt;=30,"Minor Delay",TRUE,"Major Delay")</f>
        <v>On Time</v>
      </c>
      <c r="M8" t="str">
        <f>IF(Table1_1[[#This Row],[Revenue]]&gt;500000,"High", "Low")</f>
        <v>High</v>
      </c>
    </row>
    <row r="9" spans="1:13" x14ac:dyDescent="0.3">
      <c r="A9">
        <v>8</v>
      </c>
      <c r="B9" s="2" t="s">
        <v>16</v>
      </c>
      <c r="C9" s="2" t="s">
        <v>15</v>
      </c>
      <c r="D9" s="2" t="s">
        <v>12</v>
      </c>
      <c r="E9" s="1">
        <v>45299.458333333336</v>
      </c>
      <c r="F9" s="1">
        <v>45299.541666666664</v>
      </c>
      <c r="G9">
        <v>60</v>
      </c>
      <c r="H9">
        <v>0</v>
      </c>
      <c r="I9">
        <v>160</v>
      </c>
      <c r="J9" s="6">
        <v>5200</v>
      </c>
      <c r="K9" s="6">
        <v>832000</v>
      </c>
      <c r="L9" t="str" cm="1">
        <f t="array" ref="L9">_xlfn.IFS(Table1_1[[#This Row],[Delay_minutes]]=0,"On Time",Table1_1[[#This Row],[Delay_minutes]]&lt;=30,"Minor Delay",TRUE,"Major Delay")</f>
        <v>Major Delay</v>
      </c>
      <c r="M9" t="str">
        <f>IF(Table1_1[[#This Row],[Revenue]]&gt;500000,"High", "Low")</f>
        <v>High</v>
      </c>
    </row>
    <row r="10" spans="1:13" x14ac:dyDescent="0.3">
      <c r="A10">
        <v>9</v>
      </c>
      <c r="B10" s="2" t="s">
        <v>18</v>
      </c>
      <c r="C10" s="2" t="s">
        <v>12</v>
      </c>
      <c r="D10" s="2" t="s">
        <v>17</v>
      </c>
      <c r="E10" s="1">
        <v>45300.375</v>
      </c>
      <c r="F10" s="1">
        <v>45300.416666666664</v>
      </c>
      <c r="G10">
        <v>0</v>
      </c>
      <c r="H10">
        <v>0</v>
      </c>
      <c r="I10">
        <v>80</v>
      </c>
      <c r="J10" s="6">
        <v>2500</v>
      </c>
      <c r="K10" s="6">
        <v>200000</v>
      </c>
      <c r="L10" t="str" cm="1">
        <f t="array" ref="L10">_xlfn.IFS(Table1_1[[#This Row],[Delay_minutes]]=0,"On Time",Table1_1[[#This Row],[Delay_minutes]]&lt;=30,"Minor Delay",TRUE,"Major Delay")</f>
        <v>On Time</v>
      </c>
      <c r="M10" t="str">
        <f>IF(Table1_1[[#This Row],[Revenue]]&gt;500000,"High", "Low")</f>
        <v>Low</v>
      </c>
    </row>
    <row r="11" spans="1:13" x14ac:dyDescent="0.3">
      <c r="A11">
        <v>10</v>
      </c>
      <c r="B11" s="2" t="s">
        <v>20</v>
      </c>
      <c r="C11" s="2" t="s">
        <v>17</v>
      </c>
      <c r="D11" s="2" t="s">
        <v>13</v>
      </c>
      <c r="E11" s="1">
        <v>45301.75</v>
      </c>
      <c r="F11" s="1">
        <v>45301.875</v>
      </c>
      <c r="G11">
        <v>15</v>
      </c>
      <c r="H11">
        <v>0</v>
      </c>
      <c r="I11">
        <v>170</v>
      </c>
      <c r="J11" s="6">
        <v>6000</v>
      </c>
      <c r="K11" s="6">
        <v>1020000</v>
      </c>
      <c r="L11" t="str" cm="1">
        <f t="array" ref="L11">_xlfn.IFS(Table1_1[[#This Row],[Delay_minutes]]=0,"On Time",Table1_1[[#This Row],[Delay_minutes]]&lt;=30,"Minor Delay",TRUE,"Major Delay")</f>
        <v>Minor Delay</v>
      </c>
      <c r="M11" t="str">
        <f>IF(Table1_1[[#This Row],[Revenue]]&gt;500000,"High", "Low")</f>
        <v>High</v>
      </c>
    </row>
    <row r="12" spans="1:13" x14ac:dyDescent="0.3">
      <c r="A12">
        <v>11</v>
      </c>
      <c r="B12" s="2" t="s">
        <v>11</v>
      </c>
      <c r="C12" s="2" t="s">
        <v>12</v>
      </c>
      <c r="D12" s="2" t="s">
        <v>19</v>
      </c>
      <c r="E12" s="1">
        <v>45302.333333333336</v>
      </c>
      <c r="F12" s="1">
        <v>45302.395833333336</v>
      </c>
      <c r="G12">
        <v>0</v>
      </c>
      <c r="H12">
        <v>0</v>
      </c>
      <c r="I12">
        <v>95</v>
      </c>
      <c r="J12" s="6">
        <v>3000</v>
      </c>
      <c r="K12" s="6">
        <v>285000</v>
      </c>
      <c r="L12" t="str" cm="1">
        <f t="array" ref="L12">_xlfn.IFS(Table1_1[[#This Row],[Delay_minutes]]=0,"On Time",Table1_1[[#This Row],[Delay_minutes]]&lt;=30,"Minor Delay",TRUE,"Major Delay")</f>
        <v>On Time</v>
      </c>
      <c r="M12" t="str">
        <f>IF(Table1_1[[#This Row],[Revenue]]&gt;500000,"High", "Low")</f>
        <v>Low</v>
      </c>
    </row>
    <row r="13" spans="1:13" x14ac:dyDescent="0.3">
      <c r="A13">
        <v>12</v>
      </c>
      <c r="B13" s="2" t="s">
        <v>14</v>
      </c>
      <c r="C13" s="2" t="s">
        <v>19</v>
      </c>
      <c r="D13" s="2" t="s">
        <v>13</v>
      </c>
      <c r="E13" s="1">
        <v>45303.541666666664</v>
      </c>
      <c r="F13" s="1">
        <v>45303.645833333336</v>
      </c>
      <c r="G13">
        <v>30</v>
      </c>
      <c r="H13">
        <v>0</v>
      </c>
      <c r="I13">
        <v>125</v>
      </c>
      <c r="J13" s="6">
        <v>4200</v>
      </c>
      <c r="K13" s="6">
        <v>525000</v>
      </c>
      <c r="L13" t="str" cm="1">
        <f t="array" ref="L13">_xlfn.IFS(Table1_1[[#This Row],[Delay_minutes]]=0,"On Time",Table1_1[[#This Row],[Delay_minutes]]&lt;=30,"Minor Delay",TRUE,"Major Delay")</f>
        <v>Minor Delay</v>
      </c>
      <c r="M13" t="str">
        <f>IF(Table1_1[[#This Row],[Revenue]]&gt;500000,"High", "Low")</f>
        <v>High</v>
      </c>
    </row>
    <row r="14" spans="1:13" x14ac:dyDescent="0.3">
      <c r="A14">
        <v>13</v>
      </c>
      <c r="B14" s="2" t="s">
        <v>16</v>
      </c>
      <c r="C14" s="2" t="s">
        <v>13</v>
      </c>
      <c r="D14" s="2" t="s">
        <v>22</v>
      </c>
      <c r="E14" s="1">
        <v>45304.416666666664</v>
      </c>
      <c r="F14" s="1">
        <v>45304.5</v>
      </c>
      <c r="G14">
        <v>0</v>
      </c>
      <c r="H14">
        <v>0</v>
      </c>
      <c r="I14">
        <v>105</v>
      </c>
      <c r="J14" s="6">
        <v>3500</v>
      </c>
      <c r="K14" s="6">
        <v>367500</v>
      </c>
      <c r="L14" t="str" cm="1">
        <f t="array" ref="L14">_xlfn.IFS(Table1_1[[#This Row],[Delay_minutes]]=0,"On Time",Table1_1[[#This Row],[Delay_minutes]]&lt;=30,"Minor Delay",TRUE,"Major Delay")</f>
        <v>On Time</v>
      </c>
      <c r="M14" t="str">
        <f>IF(Table1_1[[#This Row],[Revenue]]&gt;500000,"High", "Low")</f>
        <v>Low</v>
      </c>
    </row>
    <row r="15" spans="1:13" x14ac:dyDescent="0.3">
      <c r="A15">
        <v>14</v>
      </c>
      <c r="B15" s="2" t="s">
        <v>18</v>
      </c>
      <c r="C15" s="2" t="s">
        <v>22</v>
      </c>
      <c r="D15" s="2" t="s">
        <v>15</v>
      </c>
      <c r="E15" s="1">
        <v>45305.583333333336</v>
      </c>
      <c r="F15" s="1">
        <v>45305.625</v>
      </c>
      <c r="G15">
        <v>10</v>
      </c>
      <c r="H15">
        <v>0</v>
      </c>
      <c r="I15">
        <v>85</v>
      </c>
      <c r="J15" s="6">
        <v>2800</v>
      </c>
      <c r="K15" s="6">
        <v>238000</v>
      </c>
      <c r="L15" t="str" cm="1">
        <f t="array" ref="L15">_xlfn.IFS(Table1_1[[#This Row],[Delay_minutes]]=0,"On Time",Table1_1[[#This Row],[Delay_minutes]]&lt;=30,"Minor Delay",TRUE,"Major Delay")</f>
        <v>Minor Delay</v>
      </c>
      <c r="M15" t="str">
        <f>IF(Table1_1[[#This Row],[Revenue]]&gt;500000,"High", "Low")</f>
        <v>Low</v>
      </c>
    </row>
    <row r="16" spans="1:13" x14ac:dyDescent="0.3">
      <c r="A16">
        <v>15</v>
      </c>
      <c r="B16" s="2" t="s">
        <v>20</v>
      </c>
      <c r="C16" s="2" t="s">
        <v>15</v>
      </c>
      <c r="D16" s="2" t="s">
        <v>21</v>
      </c>
      <c r="E16" s="1">
        <v>45306.666666666664</v>
      </c>
      <c r="F16" s="1">
        <v>45306.791666666664</v>
      </c>
      <c r="G16">
        <v>0</v>
      </c>
      <c r="H16">
        <v>0</v>
      </c>
      <c r="I16">
        <v>150</v>
      </c>
      <c r="J16" s="6">
        <v>5500</v>
      </c>
      <c r="K16" s="6">
        <v>825000</v>
      </c>
      <c r="L16" t="str" cm="1">
        <f t="array" ref="L16">_xlfn.IFS(Table1_1[[#This Row],[Delay_minutes]]=0,"On Time",Table1_1[[#This Row],[Delay_minutes]]&lt;=30,"Minor Delay",TRUE,"Major Delay")</f>
        <v>On Time</v>
      </c>
      <c r="M16" t="str">
        <f>IF(Table1_1[[#This Row],[Revenue]]&gt;500000,"High", "Low")</f>
        <v>High</v>
      </c>
    </row>
    <row r="17" spans="1:13" x14ac:dyDescent="0.3">
      <c r="A17">
        <v>16</v>
      </c>
      <c r="B17" s="2" t="s">
        <v>11</v>
      </c>
      <c r="C17" s="2" t="s">
        <v>21</v>
      </c>
      <c r="D17" s="2" t="s">
        <v>12</v>
      </c>
      <c r="E17" s="1">
        <v>45307.291666666664</v>
      </c>
      <c r="F17" s="1">
        <v>45307.416666666664</v>
      </c>
      <c r="G17">
        <v>20</v>
      </c>
      <c r="H17">
        <v>0</v>
      </c>
      <c r="I17">
        <v>115</v>
      </c>
      <c r="J17" s="6">
        <v>3700</v>
      </c>
      <c r="K17" s="6">
        <v>425500</v>
      </c>
      <c r="L17" t="str" cm="1">
        <f t="array" ref="L17">_xlfn.IFS(Table1_1[[#This Row],[Delay_minutes]]=0,"On Time",Table1_1[[#This Row],[Delay_minutes]]&lt;=30,"Minor Delay",TRUE,"Major Delay")</f>
        <v>Minor Delay</v>
      </c>
      <c r="M17" t="str">
        <f>IF(Table1_1[[#This Row],[Revenue]]&gt;500000,"High", "Low")</f>
        <v>Low</v>
      </c>
    </row>
    <row r="18" spans="1:13" x14ac:dyDescent="0.3">
      <c r="A18">
        <v>17</v>
      </c>
      <c r="B18" s="2" t="s">
        <v>14</v>
      </c>
      <c r="C18" s="2" t="s">
        <v>12</v>
      </c>
      <c r="D18" s="2" t="s">
        <v>23</v>
      </c>
      <c r="E18" s="1">
        <v>45308.375</v>
      </c>
      <c r="F18" s="1">
        <v>45308.458333333336</v>
      </c>
      <c r="G18">
        <v>0</v>
      </c>
      <c r="H18">
        <v>0</v>
      </c>
      <c r="I18">
        <v>90</v>
      </c>
      <c r="J18" s="6">
        <v>2900</v>
      </c>
      <c r="K18" s="6">
        <v>261000</v>
      </c>
      <c r="L18" t="str" cm="1">
        <f t="array" ref="L18">_xlfn.IFS(Table1_1[[#This Row],[Delay_minutes]]=0,"On Time",Table1_1[[#This Row],[Delay_minutes]]&lt;=30,"Minor Delay",TRUE,"Major Delay")</f>
        <v>On Time</v>
      </c>
      <c r="M18" t="str">
        <f>IF(Table1_1[[#This Row],[Revenue]]&gt;500000,"High", "Low")</f>
        <v>Low</v>
      </c>
    </row>
    <row r="19" spans="1:13" x14ac:dyDescent="0.3">
      <c r="A19">
        <v>18</v>
      </c>
      <c r="B19" s="2" t="s">
        <v>16</v>
      </c>
      <c r="C19" s="2" t="s">
        <v>23</v>
      </c>
      <c r="D19" s="2" t="s">
        <v>17</v>
      </c>
      <c r="E19" s="1">
        <v>45309.5</v>
      </c>
      <c r="F19" s="1">
        <v>45309.5625</v>
      </c>
      <c r="G19">
        <v>0</v>
      </c>
      <c r="H19">
        <v>1</v>
      </c>
      <c r="I19">
        <v>0</v>
      </c>
      <c r="J19" s="6">
        <v>0</v>
      </c>
      <c r="K19" s="6">
        <v>0</v>
      </c>
      <c r="L19" t="str" cm="1">
        <f t="array" ref="L19">_xlfn.IFS(Table1_1[[#This Row],[Delay_minutes]]=0,"On Time",Table1_1[[#This Row],[Delay_minutes]]&lt;=30,"Minor Delay",TRUE,"Major Delay")</f>
        <v>On Time</v>
      </c>
      <c r="M19" t="str">
        <f>IF(Table1_1[[#This Row],[Revenue]]&gt;500000,"High", "Low")</f>
        <v>Low</v>
      </c>
    </row>
    <row r="20" spans="1:13" x14ac:dyDescent="0.3">
      <c r="A20">
        <v>19</v>
      </c>
      <c r="B20" s="2" t="s">
        <v>18</v>
      </c>
      <c r="C20" s="2" t="s">
        <v>17</v>
      </c>
      <c r="D20" s="2" t="s">
        <v>22</v>
      </c>
      <c r="E20" s="1">
        <v>45310.625</v>
      </c>
      <c r="F20" s="1">
        <v>45310.708333333336</v>
      </c>
      <c r="G20">
        <v>50</v>
      </c>
      <c r="H20">
        <v>0</v>
      </c>
      <c r="I20">
        <v>140</v>
      </c>
      <c r="J20" s="6">
        <v>5000</v>
      </c>
      <c r="K20" s="6">
        <v>700000</v>
      </c>
      <c r="L20" t="str" cm="1">
        <f t="array" ref="L20">_xlfn.IFS(Table1_1[[#This Row],[Delay_minutes]]=0,"On Time",Table1_1[[#This Row],[Delay_minutes]]&lt;=30,"Minor Delay",TRUE,"Major Delay")</f>
        <v>Major Delay</v>
      </c>
      <c r="M20" t="str">
        <f>IF(Table1_1[[#This Row],[Revenue]]&gt;500000,"High", "Low")</f>
        <v>High</v>
      </c>
    </row>
    <row r="21" spans="1:13" x14ac:dyDescent="0.3">
      <c r="A21">
        <v>20</v>
      </c>
      <c r="B21" s="2" t="s">
        <v>20</v>
      </c>
      <c r="C21" s="2" t="s">
        <v>22</v>
      </c>
      <c r="D21" s="2" t="s">
        <v>13</v>
      </c>
      <c r="E21" s="1">
        <v>45311.75</v>
      </c>
      <c r="F21" s="1">
        <v>45311.854166666664</v>
      </c>
      <c r="G21">
        <v>0</v>
      </c>
      <c r="H21">
        <v>0</v>
      </c>
      <c r="I21">
        <v>135</v>
      </c>
      <c r="J21" s="6">
        <v>4800</v>
      </c>
      <c r="K21" s="6">
        <v>648000</v>
      </c>
      <c r="L21" t="str" cm="1">
        <f t="array" ref="L21">_xlfn.IFS(Table1_1[[#This Row],[Delay_minutes]]=0,"On Time",Table1_1[[#This Row],[Delay_minutes]]&lt;=30,"Minor Delay",TRUE,"Major Delay")</f>
        <v>On Time</v>
      </c>
      <c r="M21" t="str">
        <f>IF(Table1_1[[#This Row],[Revenue]]&gt;500000,"High", "Low")</f>
        <v>High</v>
      </c>
    </row>
    <row r="22" spans="1:13" x14ac:dyDescent="0.3">
      <c r="A22">
        <v>21</v>
      </c>
      <c r="B22" s="2" t="s">
        <v>11</v>
      </c>
      <c r="C22" s="2" t="s">
        <v>13</v>
      </c>
      <c r="D22" s="2" t="s">
        <v>12</v>
      </c>
      <c r="E22" s="1">
        <v>45312.25</v>
      </c>
      <c r="F22" s="1">
        <v>45312.375</v>
      </c>
      <c r="G22">
        <v>5</v>
      </c>
      <c r="H22">
        <v>0</v>
      </c>
      <c r="I22">
        <v>120</v>
      </c>
      <c r="J22" s="6">
        <v>3600</v>
      </c>
      <c r="K22" s="6">
        <v>432000</v>
      </c>
      <c r="L22" t="str" cm="1">
        <f t="array" ref="L22">_xlfn.IFS(Table1_1[[#This Row],[Delay_minutes]]=0,"On Time",Table1_1[[#This Row],[Delay_minutes]]&lt;=30,"Minor Delay",TRUE,"Major Delay")</f>
        <v>Minor Delay</v>
      </c>
      <c r="M22" t="str">
        <f>IF(Table1_1[[#This Row],[Revenue]]&gt;500000,"High", "Low")</f>
        <v>Low</v>
      </c>
    </row>
    <row r="23" spans="1:13" x14ac:dyDescent="0.3">
      <c r="A23">
        <v>22</v>
      </c>
      <c r="B23" s="2" t="s">
        <v>14</v>
      </c>
      <c r="C23" s="2" t="s">
        <v>12</v>
      </c>
      <c r="D23" s="2" t="s">
        <v>15</v>
      </c>
      <c r="E23" s="1">
        <v>45313.333333333336</v>
      </c>
      <c r="F23" s="1">
        <v>45313.416666666664</v>
      </c>
      <c r="G23">
        <v>0</v>
      </c>
      <c r="H23">
        <v>0</v>
      </c>
      <c r="I23">
        <v>150</v>
      </c>
      <c r="J23" s="6">
        <v>5200</v>
      </c>
      <c r="K23" s="6">
        <v>780000</v>
      </c>
      <c r="L23" t="str" cm="1">
        <f t="array" ref="L23">_xlfn.IFS(Table1_1[[#This Row],[Delay_minutes]]=0,"On Time",Table1_1[[#This Row],[Delay_minutes]]&lt;=30,"Minor Delay",TRUE,"Major Delay")</f>
        <v>On Time</v>
      </c>
      <c r="M23" t="str">
        <f>IF(Table1_1[[#This Row],[Revenue]]&gt;500000,"High", "Low")</f>
        <v>High</v>
      </c>
    </row>
    <row r="24" spans="1:13" x14ac:dyDescent="0.3">
      <c r="A24">
        <v>23</v>
      </c>
      <c r="B24" s="2" t="s">
        <v>16</v>
      </c>
      <c r="C24" s="2" t="s">
        <v>15</v>
      </c>
      <c r="D24" s="2" t="s">
        <v>13</v>
      </c>
      <c r="E24" s="1">
        <v>45314.458333333336</v>
      </c>
      <c r="F24" s="1">
        <v>45314.5625</v>
      </c>
      <c r="G24">
        <v>15</v>
      </c>
      <c r="H24">
        <v>0</v>
      </c>
      <c r="I24">
        <v>110</v>
      </c>
      <c r="J24" s="6">
        <v>4100</v>
      </c>
      <c r="K24" s="6">
        <v>451000</v>
      </c>
      <c r="L24" t="str" cm="1">
        <f t="array" ref="L24">_xlfn.IFS(Table1_1[[#This Row],[Delay_minutes]]=0,"On Time",Table1_1[[#This Row],[Delay_minutes]]&lt;=30,"Minor Delay",TRUE,"Major Delay")</f>
        <v>Minor Delay</v>
      </c>
      <c r="M24" t="str">
        <f>IF(Table1_1[[#This Row],[Revenue]]&gt;500000,"High", "Low")</f>
        <v>Low</v>
      </c>
    </row>
    <row r="25" spans="1:13" x14ac:dyDescent="0.3">
      <c r="A25">
        <v>24</v>
      </c>
      <c r="B25" s="2" t="s">
        <v>18</v>
      </c>
      <c r="C25" s="2" t="s">
        <v>13</v>
      </c>
      <c r="D25" s="2" t="s">
        <v>17</v>
      </c>
      <c r="E25" s="1">
        <v>45315.583333333336</v>
      </c>
      <c r="F25" s="1">
        <v>45315.708333333336</v>
      </c>
      <c r="G25">
        <v>0</v>
      </c>
      <c r="H25">
        <v>0</v>
      </c>
      <c r="I25">
        <v>130</v>
      </c>
      <c r="J25" s="6">
        <v>4500</v>
      </c>
      <c r="K25" s="6">
        <v>585000</v>
      </c>
      <c r="L25" t="str" cm="1">
        <f t="array" ref="L25">_xlfn.IFS(Table1_1[[#This Row],[Delay_minutes]]=0,"On Time",Table1_1[[#This Row],[Delay_minutes]]&lt;=30,"Minor Delay",TRUE,"Major Delay")</f>
        <v>On Time</v>
      </c>
      <c r="M25" t="str">
        <f>IF(Table1_1[[#This Row],[Revenue]]&gt;500000,"High", "Low")</f>
        <v>High</v>
      </c>
    </row>
    <row r="26" spans="1:13" x14ac:dyDescent="0.3">
      <c r="A26">
        <v>25</v>
      </c>
      <c r="B26" s="2" t="s">
        <v>20</v>
      </c>
      <c r="C26" s="2" t="s">
        <v>17</v>
      </c>
      <c r="D26" s="2" t="s">
        <v>19</v>
      </c>
      <c r="E26" s="1">
        <v>45316.75</v>
      </c>
      <c r="F26" s="1">
        <v>45316.8125</v>
      </c>
      <c r="G26">
        <v>25</v>
      </c>
      <c r="H26">
        <v>0</v>
      </c>
      <c r="I26">
        <v>100</v>
      </c>
      <c r="J26" s="6">
        <v>3800</v>
      </c>
      <c r="K26" s="6">
        <v>380000</v>
      </c>
      <c r="L26" t="str" cm="1">
        <f t="array" ref="L26">_xlfn.IFS(Table1_1[[#This Row],[Delay_minutes]]=0,"On Time",Table1_1[[#This Row],[Delay_minutes]]&lt;=30,"Minor Delay",TRUE,"Major Delay")</f>
        <v>Minor Delay</v>
      </c>
      <c r="M26" t="str">
        <f>IF(Table1_1[[#This Row],[Revenue]]&gt;500000,"High", "Low")</f>
        <v>Low</v>
      </c>
    </row>
    <row r="27" spans="1:13" x14ac:dyDescent="0.3">
      <c r="A27">
        <v>26</v>
      </c>
      <c r="B27" s="2" t="s">
        <v>11</v>
      </c>
      <c r="C27" s="2" t="s">
        <v>19</v>
      </c>
      <c r="D27" s="2" t="s">
        <v>23</v>
      </c>
      <c r="E27" s="1">
        <v>45317.291666666664</v>
      </c>
      <c r="F27" s="1">
        <v>45317.375</v>
      </c>
      <c r="G27">
        <v>0</v>
      </c>
      <c r="H27">
        <v>0</v>
      </c>
      <c r="I27">
        <v>95</v>
      </c>
      <c r="J27" s="6">
        <v>3000</v>
      </c>
      <c r="K27" s="6">
        <v>285000</v>
      </c>
      <c r="L27" t="str" cm="1">
        <f t="array" ref="L27">_xlfn.IFS(Table1_1[[#This Row],[Delay_minutes]]=0,"On Time",Table1_1[[#This Row],[Delay_minutes]]&lt;=30,"Minor Delay",TRUE,"Major Delay")</f>
        <v>On Time</v>
      </c>
      <c r="M27" t="str">
        <f>IF(Table1_1[[#This Row],[Revenue]]&gt;500000,"High", "Low")</f>
        <v>Low</v>
      </c>
    </row>
    <row r="28" spans="1:13" x14ac:dyDescent="0.3">
      <c r="A28">
        <v>27</v>
      </c>
      <c r="B28" s="2" t="s">
        <v>14</v>
      </c>
      <c r="C28" s="2" t="s">
        <v>23</v>
      </c>
      <c r="D28" s="2" t="s">
        <v>13</v>
      </c>
      <c r="E28" s="1">
        <v>45318.416666666664</v>
      </c>
      <c r="F28" s="1">
        <v>45318.541666666664</v>
      </c>
      <c r="G28">
        <v>40</v>
      </c>
      <c r="H28">
        <v>0</v>
      </c>
      <c r="I28">
        <v>125</v>
      </c>
      <c r="J28" s="6">
        <v>4200</v>
      </c>
      <c r="K28" s="6">
        <v>525000</v>
      </c>
      <c r="L28" t="str" cm="1">
        <f t="array" ref="L28">_xlfn.IFS(Table1_1[[#This Row],[Delay_minutes]]=0,"On Time",Table1_1[[#This Row],[Delay_minutes]]&lt;=30,"Minor Delay",TRUE,"Major Delay")</f>
        <v>Major Delay</v>
      </c>
      <c r="M28" t="str">
        <f>IF(Table1_1[[#This Row],[Revenue]]&gt;500000,"High", "Low")</f>
        <v>High</v>
      </c>
    </row>
    <row r="29" spans="1:13" x14ac:dyDescent="0.3">
      <c r="A29">
        <v>28</v>
      </c>
      <c r="B29" s="2" t="s">
        <v>16</v>
      </c>
      <c r="C29" s="2" t="s">
        <v>13</v>
      </c>
      <c r="D29" s="2" t="s">
        <v>12</v>
      </c>
      <c r="E29" s="1">
        <v>45319.625</v>
      </c>
      <c r="F29" s="1">
        <v>45319.75</v>
      </c>
      <c r="G29">
        <v>0</v>
      </c>
      <c r="H29">
        <v>0</v>
      </c>
      <c r="I29">
        <v>140</v>
      </c>
      <c r="J29" s="6">
        <v>4800</v>
      </c>
      <c r="K29" s="6">
        <v>672000</v>
      </c>
      <c r="L29" t="str" cm="1">
        <f t="array" ref="L29">_xlfn.IFS(Table1_1[[#This Row],[Delay_minutes]]=0,"On Time",Table1_1[[#This Row],[Delay_minutes]]&lt;=30,"Minor Delay",TRUE,"Major Delay")</f>
        <v>On Time</v>
      </c>
      <c r="M29" t="str">
        <f>IF(Table1_1[[#This Row],[Revenue]]&gt;500000,"High", "Low")</f>
        <v>High</v>
      </c>
    </row>
    <row r="30" spans="1:13" x14ac:dyDescent="0.3">
      <c r="A30">
        <v>29</v>
      </c>
      <c r="B30" s="2" t="s">
        <v>18</v>
      </c>
      <c r="C30" s="2" t="s">
        <v>12</v>
      </c>
      <c r="D30" s="2" t="s">
        <v>22</v>
      </c>
      <c r="E30" s="1">
        <v>45320.375</v>
      </c>
      <c r="F30" s="1">
        <v>45320.479166666664</v>
      </c>
      <c r="G30">
        <v>0</v>
      </c>
      <c r="H30">
        <v>0</v>
      </c>
      <c r="I30">
        <v>135</v>
      </c>
      <c r="J30" s="6">
        <v>4700</v>
      </c>
      <c r="K30" s="6">
        <v>634500</v>
      </c>
      <c r="L30" t="str" cm="1">
        <f t="array" ref="L30">_xlfn.IFS(Table1_1[[#This Row],[Delay_minutes]]=0,"On Time",Table1_1[[#This Row],[Delay_minutes]]&lt;=30,"Minor Delay",TRUE,"Major Delay")</f>
        <v>On Time</v>
      </c>
      <c r="M30" t="str">
        <f>IF(Table1_1[[#This Row],[Revenue]]&gt;500000,"High", "Low")</f>
        <v>High</v>
      </c>
    </row>
    <row r="31" spans="1:13" x14ac:dyDescent="0.3">
      <c r="A31">
        <v>30</v>
      </c>
      <c r="B31" s="2" t="s">
        <v>20</v>
      </c>
      <c r="C31" s="2" t="s">
        <v>22</v>
      </c>
      <c r="D31" s="2" t="s">
        <v>15</v>
      </c>
      <c r="E31" s="1">
        <v>45321.5</v>
      </c>
      <c r="F31" s="1">
        <v>45321.541666666664</v>
      </c>
      <c r="G31">
        <v>0</v>
      </c>
      <c r="H31">
        <v>0</v>
      </c>
      <c r="I31">
        <v>150</v>
      </c>
      <c r="J31" s="6">
        <v>5000</v>
      </c>
      <c r="K31" s="6">
        <v>750000</v>
      </c>
      <c r="L31" t="str" cm="1">
        <f t="array" ref="L31">_xlfn.IFS(Table1_1[[#This Row],[Delay_minutes]]=0,"On Time",Table1_1[[#This Row],[Delay_minutes]]&lt;=30,"Minor Delay",TRUE,"Major Delay")</f>
        <v>On Time</v>
      </c>
      <c r="M31" t="str">
        <f>IF(Table1_1[[#This Row],[Revenue]]&gt;500000,"High", "Low")</f>
        <v>High</v>
      </c>
    </row>
  </sheetData>
  <conditionalFormatting sqref="L2:L31">
    <cfRule type="expression" dxfId="9" priority="1">
      <formula>$L2="Major Delay"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9436D-FE88-4B13-9566-D2F0BCA06E95}">
  <dimension ref="A3:B23"/>
  <sheetViews>
    <sheetView workbookViewId="0">
      <selection activeCell="F15" sqref="F15"/>
    </sheetView>
  </sheetViews>
  <sheetFormatPr defaultRowHeight="14.4" x14ac:dyDescent="0.3"/>
  <cols>
    <col min="1" max="1" width="12.109375" customWidth="1"/>
    <col min="2" max="2" width="19.6640625" bestFit="1" customWidth="1"/>
  </cols>
  <sheetData>
    <row r="3" spans="1:2" x14ac:dyDescent="0.3">
      <c r="A3" s="3" t="s">
        <v>37</v>
      </c>
      <c r="B3" t="s">
        <v>38</v>
      </c>
    </row>
    <row r="4" spans="1:2" x14ac:dyDescent="0.3">
      <c r="A4" s="4" t="s">
        <v>20</v>
      </c>
      <c r="B4" s="6">
        <v>3975000</v>
      </c>
    </row>
    <row r="5" spans="1:2" x14ac:dyDescent="0.3">
      <c r="A5" s="4" t="s">
        <v>14</v>
      </c>
      <c r="B5" s="6">
        <v>3513000</v>
      </c>
    </row>
    <row r="6" spans="1:2" x14ac:dyDescent="0.3">
      <c r="A6" s="4" t="s">
        <v>16</v>
      </c>
      <c r="B6" s="6">
        <v>2722500</v>
      </c>
    </row>
    <row r="7" spans="1:2" x14ac:dyDescent="0.3">
      <c r="A7" s="4" t="s">
        <v>18</v>
      </c>
      <c r="B7" s="6">
        <v>2627500</v>
      </c>
    </row>
    <row r="8" spans="1:2" x14ac:dyDescent="0.3">
      <c r="A8" s="4" t="s">
        <v>11</v>
      </c>
      <c r="B8" s="6">
        <v>2432500</v>
      </c>
    </row>
    <row r="18" spans="1:2" x14ac:dyDescent="0.3">
      <c r="A18" s="3" t="s">
        <v>37</v>
      </c>
      <c r="B18" t="s">
        <v>39</v>
      </c>
    </row>
    <row r="19" spans="1:2" x14ac:dyDescent="0.3">
      <c r="A19" s="4" t="s">
        <v>16</v>
      </c>
      <c r="B19" s="5">
        <v>16.666666666666668</v>
      </c>
    </row>
    <row r="20" spans="1:2" x14ac:dyDescent="0.3">
      <c r="A20" s="4" t="s">
        <v>11</v>
      </c>
      <c r="B20" s="5">
        <v>13.333333333333334</v>
      </c>
    </row>
    <row r="21" spans="1:2" x14ac:dyDescent="0.3">
      <c r="A21" s="4" t="s">
        <v>14</v>
      </c>
      <c r="B21" s="5">
        <v>11.666666666666666</v>
      </c>
    </row>
    <row r="22" spans="1:2" x14ac:dyDescent="0.3">
      <c r="A22" s="4" t="s">
        <v>18</v>
      </c>
      <c r="B22" s="5">
        <v>10.833333333333334</v>
      </c>
    </row>
    <row r="23" spans="1:2" x14ac:dyDescent="0.3">
      <c r="A23" s="4" t="s">
        <v>20</v>
      </c>
      <c r="B23" s="5">
        <v>6.666666666666667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440B8-FF62-4B02-9250-805A32DCF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Airline_revenue_pivot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adhithya</cp:lastModifiedBy>
  <dcterms:created xsi:type="dcterms:W3CDTF">2026-03-20T06:06:27Z</dcterms:created>
  <dcterms:modified xsi:type="dcterms:W3CDTF">2026-03-20T06:47:16Z</dcterms:modified>
</cp:coreProperties>
</file>